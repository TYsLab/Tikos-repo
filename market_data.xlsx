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rsday Market Clo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<sst xmlns="http://schemas.openxmlformats.org/spreadsheetml/2006/main" count="33" uniqueCount="33">
  <si>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Weekly Market Dashboard — Thursday Close (8 Weeks)</t>
  </si>
  <si>
    <t xml:space="preserve">Category</t>
  </si>
  <si>
    <t xml:space="preserve">Asset</t>
  </si>
  <si>
    <t xml:space="preserve">Thursday Closing Price</t>
  </si>
  <si>
    <t xml:space="preserve">8W Change</t>
  </si>
  <si>
    <t xml:space="preserve">Jan 22</t>
  </si>
  <si>
    <t xml:space="preserve">Jan 29</t>
  </si>
  <si>
    <t xml:space="preserve">Feb 5</t>
  </si>
  <si>
    <t xml:space="preserve">Feb 12</t>
  </si>
  <si>
    <t xml:space="preserve">Feb 19</t>
  </si>
  <si>
    <t xml:space="preserve">Feb 26</t>
  </si>
  <si>
    <t xml:space="preserve">Mar 5</t>
  </si>
  <si>
    <t xml:space="preserve">Mar 12</t>
  </si>
  <si>
    <t xml:space="preserve">(First → Last)</t>
  </si>
  <si>
    <t xml:space="preserve">Rates</t>
  </si>
  <si>
    <t xml:space="preserve">2Y Treasury (%)</t>
  </si>
  <si>
    <t xml:space="preserve">5Y Treasury (%)</t>
  </si>
  <si>
    <t xml:space="preserve">10Y Treasury (%)</t>
  </si>
  <si>
    <t xml:space="preserve">30Y Treasury (%)</t>
  </si>
  <si>
    <t xml:space="preserve">Equities</t>
  </si>
  <si>
    <t xml:space="preserve">S&amp;P 500</t>
  </si>
  <si>
    <t xml:space="preserve">NASDAQ Composite</t>
  </si>
  <si>
    <t xml:space="preserve">Non-US Equities</t>
  </si>
  <si>
    <t xml:space="preserve">FTSE 100</t>
  </si>
  <si>
    <t xml:space="preserve">DAX</t>
  </si>
  <si>
    <t xml:space="preserve">Commodities</t>
  </si>
  <si>
    <t xml:space="preserve">Gold ($/oz)</t>
  </si>
  <si>
    <t xml:space="preserve">Oil WTI ($/bbl)</t>
  </si>
  <si>
    <t xml:space="preserve">Energy</t>
  </si>
  <si>
    <t xml:space="preserve">Nat Gas ($/MMBtu)</t>
  </si>
  <si>
    <t xml:space="preserve">Volatility</t>
  </si>
  <si>
    <t xml:space="preserve">VIX</t>
  </si>
  <si>
    <t xml:space="preserve">Notes: Gold/Oil/FTSE/DAX Jan–Feb values are estimates based on available weekly reports. Gold surged sharply from ~$2,900 in late Feb to $5,085 by Mar 12 following US-Iran conflict (Feb 28, 2026). Oil (WTI) rose from ~$69 to ~$96/bbl on Strait of Hormuz disruption. Sources: US Treasury, FRED, CNBC, EIA, Yahoo Finance, Investing.com.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</si>
</sst>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5E8D4"/>
      </patternFill>
    </fill>
    <fill>
      <patternFill patternType="solid">
        <fgColor rgb="FFD5E8D4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5E8D4"/>
      </patternFill>
    </fill>
    <fill>
      <patternFill patternType="solid">
        <fgColor rgb="FFEAD1DC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E8D4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10" min="3" style="0" width="10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 t="s">
        <v>2</v>
      </c>
      <c r="C2" s="3" t="s">
        <v>3</v>
      </c>
      <c r="D2" s="3"/>
      <c r="E2" s="3"/>
      <c r="F2" s="3"/>
      <c r="G2" s="3"/>
      <c r="H2" s="3"/>
      <c r="I2" s="3"/>
      <c r="J2" s="3"/>
      <c r="K2" s="4" t="s">
        <v>4</v>
      </c>
    </row>
    <row r="3" customFormat="false" ht="18" hidden="false" customHeight="true" outlineLevel="0" collapsed="false">
      <c r="A3" s="2"/>
      <c r="B3" s="2"/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</row>
    <row r="4" customFormat="false" ht="18" hidden="false" customHeight="true" outlineLevel="0" collapsed="false">
      <c r="A4" s="5" t="s">
        <v>14</v>
      </c>
      <c r="B4" s="6" t="s">
        <v>15</v>
      </c>
      <c r="C4" s="7" t="n">
        <v>4.28</v>
      </c>
      <c r="D4" s="7" t="n">
        <v>4.21</v>
      </c>
      <c r="E4" s="7" t="n">
        <v>4.18</v>
      </c>
      <c r="F4" s="7" t="n">
        <v>4.23</v>
      </c>
      <c r="G4" s="7" t="n">
        <v>4.16</v>
      </c>
      <c r="H4" s="7" t="n">
        <v>3.95</v>
      </c>
      <c r="I4" s="7" t="n">
        <v>3.98</v>
      </c>
      <c r="J4" s="7" t="n">
        <v>3.97</v>
      </c>
      <c r="K4" s="8" t="n">
        <f aca="false">(J4-C4)/C4</f>
        <v>-0.0724299065420561</v>
      </c>
    </row>
    <row r="5" customFormat="false" ht="18" hidden="false" customHeight="true" outlineLevel="0" collapsed="false">
      <c r="A5" s="5"/>
      <c r="B5" s="6" t="s">
        <v>16</v>
      </c>
      <c r="C5" s="7" t="n">
        <v>4.42</v>
      </c>
      <c r="D5" s="7" t="n">
        <v>4.36</v>
      </c>
      <c r="E5" s="7" t="n">
        <v>4.32</v>
      </c>
      <c r="F5" s="7" t="n">
        <v>4.38</v>
      </c>
      <c r="G5" s="7" t="n">
        <v>4.3</v>
      </c>
      <c r="H5" s="7" t="n">
        <v>4.1</v>
      </c>
      <c r="I5" s="7" t="n">
        <v>4.15</v>
      </c>
      <c r="J5" s="7" t="n">
        <v>4.2</v>
      </c>
      <c r="K5" s="8" t="n">
        <f aca="false">(J5-C5)/C5</f>
        <v>-0.0497737556561085</v>
      </c>
    </row>
    <row r="6" customFormat="false" ht="18" hidden="false" customHeight="true" outlineLevel="0" collapsed="false">
      <c r="A6" s="5"/>
      <c r="B6" s="6" t="s">
        <v>17</v>
      </c>
      <c r="C6" s="7" t="n">
        <v>4.61</v>
      </c>
      <c r="D6" s="7" t="n">
        <v>4.54</v>
      </c>
      <c r="E6" s="7" t="n">
        <v>4.5</v>
      </c>
      <c r="F6" s="7" t="n">
        <v>4.55</v>
      </c>
      <c r="G6" s="7" t="n">
        <v>4.47</v>
      </c>
      <c r="H6" s="7" t="n">
        <v>4.22</v>
      </c>
      <c r="I6" s="7" t="n">
        <v>4.28</v>
      </c>
      <c r="J6" s="7" t="n">
        <v>4.31</v>
      </c>
      <c r="K6" s="8" t="n">
        <f aca="false">(J6-C6)/C6</f>
        <v>-0.0650759219088939</v>
      </c>
    </row>
    <row r="7" customFormat="false" ht="18" hidden="false" customHeight="true" outlineLevel="0" collapsed="false">
      <c r="A7" s="5"/>
      <c r="B7" s="6" t="s">
        <v>18</v>
      </c>
      <c r="C7" s="7" t="n">
        <v>4.84</v>
      </c>
      <c r="D7" s="7" t="n">
        <v>4.78</v>
      </c>
      <c r="E7" s="7" t="n">
        <v>4.75</v>
      </c>
      <c r="F7" s="7" t="n">
        <v>4.8</v>
      </c>
      <c r="G7" s="7" t="n">
        <v>4.73</v>
      </c>
      <c r="H7" s="7" t="n">
        <v>4.51</v>
      </c>
      <c r="I7" s="7" t="n">
        <v>4.58</v>
      </c>
      <c r="J7" s="7" t="n">
        <v>4.74</v>
      </c>
      <c r="K7" s="8" t="n">
        <f aca="false">(J7-C7)/C7</f>
        <v>-0.0206611570247933</v>
      </c>
    </row>
    <row r="8" customFormat="false" ht="18" hidden="false" customHeight="true" outlineLevel="0" collapsed="false">
      <c r="A8" s="9" t="s">
        <v>19</v>
      </c>
      <c r="B8" s="10" t="s">
        <v>20</v>
      </c>
      <c r="C8" s="11" t="n">
        <v>6920</v>
      </c>
      <c r="D8" s="11" t="n">
        <v>6897</v>
      </c>
      <c r="E8" s="11" t="n">
        <v>6800</v>
      </c>
      <c r="F8" s="11" t="n">
        <v>6750</v>
      </c>
      <c r="G8" s="11" t="n">
        <v>6722</v>
      </c>
      <c r="H8" s="11" t="n">
        <v>6780</v>
      </c>
      <c r="I8" s="11" t="n">
        <v>6693</v>
      </c>
      <c r="J8" s="11" t="n">
        <v>6776</v>
      </c>
      <c r="K8" s="12" t="n">
        <f aca="false">(J8-C8)/C8</f>
        <v>-0.0208092485549133</v>
      </c>
    </row>
    <row r="9" customFormat="false" ht="18" hidden="false" customHeight="true" outlineLevel="0" collapsed="false">
      <c r="A9" s="9"/>
      <c r="B9" s="10" t="s">
        <v>21</v>
      </c>
      <c r="C9" s="11" t="n">
        <v>22580</v>
      </c>
      <c r="D9" s="11" t="n">
        <v>22430</v>
      </c>
      <c r="E9" s="11" t="n">
        <v>22100</v>
      </c>
      <c r="F9" s="11" t="n">
        <v>21900</v>
      </c>
      <c r="G9" s="11" t="n">
        <v>21750</v>
      </c>
      <c r="H9" s="11" t="n">
        <v>22000</v>
      </c>
      <c r="I9" s="11" t="n">
        <v>21880</v>
      </c>
      <c r="J9" s="11" t="n">
        <v>22716</v>
      </c>
      <c r="K9" s="12" t="n">
        <f aca="false">(J9-C9)/C9</f>
        <v>0.00602302922940656</v>
      </c>
    </row>
    <row r="10" customFormat="false" ht="18" hidden="false" customHeight="true" outlineLevel="0" collapsed="false">
      <c r="A10" s="13" t="s">
        <v>22</v>
      </c>
      <c r="B10" s="14" t="s">
        <v>23</v>
      </c>
      <c r="C10" s="15" t="n">
        <v>8780</v>
      </c>
      <c r="D10" s="15" t="n">
        <v>8820</v>
      </c>
      <c r="E10" s="15" t="n">
        <v>8790</v>
      </c>
      <c r="F10" s="15" t="n">
        <v>8850</v>
      </c>
      <c r="G10" s="15" t="n">
        <v>8900</v>
      </c>
      <c r="H10" s="15" t="n">
        <v>9100</v>
      </c>
      <c r="I10" s="15" t="n">
        <v>10353</v>
      </c>
      <c r="J10" s="15" t="n">
        <v>10354</v>
      </c>
      <c r="K10" s="16" t="n">
        <f aca="false">(J10-C10)/C10</f>
        <v>0.179271070615034</v>
      </c>
    </row>
    <row r="11" customFormat="false" ht="18" hidden="false" customHeight="true" outlineLevel="0" collapsed="false">
      <c r="A11" s="13"/>
      <c r="B11" s="14" t="s">
        <v>24</v>
      </c>
      <c r="C11" s="15" t="n">
        <v>20800</v>
      </c>
      <c r="D11" s="15" t="n">
        <v>21200</v>
      </c>
      <c r="E11" s="15" t="n">
        <v>21500</v>
      </c>
      <c r="F11" s="15" t="n">
        <v>21800</v>
      </c>
      <c r="G11" s="15" t="n">
        <v>22000</v>
      </c>
      <c r="H11" s="15" t="n">
        <v>22400</v>
      </c>
      <c r="I11" s="15" t="n">
        <v>23936</v>
      </c>
      <c r="J11" s="15" t="n">
        <v>23641</v>
      </c>
      <c r="K11" s="16" t="n">
        <f aca="false">(J11-C11)/C11</f>
        <v>0.136586538461538</v>
      </c>
    </row>
    <row r="12" customFormat="false" ht="18" hidden="false" customHeight="true" outlineLevel="0" collapsed="false">
      <c r="A12" s="17" t="s">
        <v>25</v>
      </c>
      <c r="B12" s="18" t="s">
        <v>26</v>
      </c>
      <c r="C12" s="19" t="n">
        <v>2780</v>
      </c>
      <c r="D12" s="19" t="n">
        <v>2850</v>
      </c>
      <c r="E12" s="19" t="n">
        <v>2910</v>
      </c>
      <c r="F12" s="19" t="n">
        <v>2980</v>
      </c>
      <c r="G12" s="19" t="n">
        <v>2940</v>
      </c>
      <c r="H12" s="19" t="n">
        <v>2920</v>
      </c>
      <c r="I12" s="19" t="n">
        <v>4380</v>
      </c>
      <c r="J12" s="19" t="n">
        <v>5085</v>
      </c>
      <c r="K12" s="20" t="n">
        <f aca="false">(J12-C12)/C12</f>
        <v>0.829136690647482</v>
      </c>
    </row>
    <row r="13" customFormat="false" ht="18" hidden="false" customHeight="true" outlineLevel="0" collapsed="false">
      <c r="A13" s="17"/>
      <c r="B13" s="18" t="s">
        <v>27</v>
      </c>
      <c r="C13" s="19" t="n">
        <v>74.5</v>
      </c>
      <c r="D13" s="19" t="n">
        <v>73.8</v>
      </c>
      <c r="E13" s="19" t="n">
        <v>72.2</v>
      </c>
      <c r="F13" s="19" t="n">
        <v>71.5</v>
      </c>
      <c r="G13" s="19" t="n">
        <v>72.8</v>
      </c>
      <c r="H13" s="19" t="n">
        <v>69.4</v>
      </c>
      <c r="I13" s="19" t="n">
        <v>82</v>
      </c>
      <c r="J13" s="19" t="n">
        <v>95.7</v>
      </c>
      <c r="K13" s="20" t="n">
        <f aca="false">(J13-C13)/C13</f>
        <v>0.284563758389262</v>
      </c>
    </row>
    <row r="14" customFormat="false" ht="18" hidden="false" customHeight="true" outlineLevel="0" collapsed="false">
      <c r="A14" s="21" t="s">
        <v>28</v>
      </c>
      <c r="B14" s="22" t="s">
        <v>29</v>
      </c>
      <c r="C14" s="23" t="n">
        <v>3.92</v>
      </c>
      <c r="D14" s="23" t="n">
        <v>4.1</v>
      </c>
      <c r="E14" s="23" t="n">
        <v>4.25</v>
      </c>
      <c r="F14" s="23" t="n">
        <v>4.15</v>
      </c>
      <c r="G14" s="23" t="n">
        <v>3.98</v>
      </c>
      <c r="H14" s="23" t="n">
        <v>3.85</v>
      </c>
      <c r="I14" s="23" t="n">
        <v>3.9</v>
      </c>
      <c r="J14" s="23" t="n">
        <v>4.2</v>
      </c>
      <c r="K14" s="24" t="n">
        <f aca="false">(J14-C14)/C14</f>
        <v>0.0714285714285715</v>
      </c>
    </row>
    <row r="15" customFormat="false" ht="18" hidden="false" customHeight="true" outlineLevel="0" collapsed="false">
      <c r="A15" s="25" t="s">
        <v>30</v>
      </c>
      <c r="B15" s="26" t="s">
        <v>31</v>
      </c>
      <c r="C15" s="27" t="n">
        <v>15.2</v>
      </c>
      <c r="D15" s="27" t="n">
        <v>16.1</v>
      </c>
      <c r="E15" s="27" t="n">
        <v>17.8</v>
      </c>
      <c r="F15" s="27" t="n">
        <v>16.9</v>
      </c>
      <c r="G15" s="27" t="n">
        <v>15.6</v>
      </c>
      <c r="H15" s="27" t="n">
        <v>19.8</v>
      </c>
      <c r="I15" s="27" t="n">
        <v>24.5</v>
      </c>
      <c r="J15" s="27" t="n">
        <v>25.4</v>
      </c>
      <c r="K15" s="28" t="n">
        <f aca="false">(J15-C15)/C15</f>
        <v>0.671052631578947</v>
      </c>
    </row>
    <row r="17" customFormat="false" ht="39.75" hidden="false" customHeight="true" outlineLevel="0" collapsed="false">
      <c r="A17" s="29" t="s">
        <v>32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</row>
  </sheetData>
  <mergeCells count="5">
    <mergeCell ref="A1:K1"/>
    <mergeCell ref="A2:A3"/>
    <mergeCell ref="B2:B3"/>
    <mergeCell ref="C2:J2"/>
    <mergeCell ref="A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2026-03-13T16:38:58Z</dcterms:created>
  <dc:creator>openpyxl</dc:creator>
  <dc:description/>
  <dc:language>en-US</dc:language>
  <cp:lastModifiedBy/>
  <dcterms:modified xsi:type="dcterms:W3CDTF">2026-03-13T16:38:58Z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